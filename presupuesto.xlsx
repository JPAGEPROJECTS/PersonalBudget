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30 Abril" sheetId="2" r:id="rId5"/>
    <sheet state="visible" name="15deMayo" sheetId="3" r:id="rId6"/>
    <sheet state="visible" name="30 de Mayo" sheetId="4" r:id="rId7"/>
    <sheet state="visible" name="15 de Junio" sheetId="5" r:id="rId8"/>
    <sheet state="visible" name="30 de Junio" sheetId="6" r:id="rId9"/>
    <sheet state="visible" name="15 de Julio" sheetId="7" r:id="rId10"/>
    <sheet state="visible" name="30 de Julio" sheetId="8" r:id="rId11"/>
    <sheet state="visible" name="15 de Agosto" sheetId="9" r:id="rId12"/>
    <sheet state="visible" name="30deAgosto" sheetId="10" r:id="rId13"/>
    <sheet state="visible" name="15deSep" sheetId="11" r:id="rId14"/>
  </sheets>
  <definedNames/>
  <calcPr/>
  <extLst>
    <ext uri="GoogleSheetsCustomDataVersion2">
      <go:sheetsCustomData xmlns:go="http://customooxmlschemas.google.com/" r:id="rId15" roundtripDataChecksum="GBp6L9LjEHal1LGrhShX0iDvksCuM4B2c/5JXCQFjvI="/>
    </ext>
  </extLst>
</workbook>
</file>

<file path=xl/sharedStrings.xml><?xml version="1.0" encoding="utf-8"?>
<sst xmlns="http://schemas.openxmlformats.org/spreadsheetml/2006/main" count="405" uniqueCount="44">
  <si>
    <t>💰  TRACKER DE PRESUPUESTO PERSONAL</t>
  </si>
  <si>
    <t>SALARIO QUINCENAL</t>
  </si>
  <si>
    <t>← Ingresa tu salario aquí</t>
  </si>
  <si>
    <t>#</t>
  </si>
  <si>
    <t>Descripción del Gasto</t>
  </si>
  <si>
    <t>Monto (B/.)</t>
  </si>
  <si>
    <t>¿Pagado?</t>
  </si>
  <si>
    <t>Monto Pagado</t>
  </si>
  <si>
    <t>PrestYa</t>
  </si>
  <si>
    <t>✅ Sí</t>
  </si>
  <si>
    <t>Electricidad</t>
  </si>
  <si>
    <t>❌ No</t>
  </si>
  <si>
    <t>Celu</t>
  </si>
  <si>
    <t>Monto debt</t>
  </si>
  <si>
    <t>Internet / Teléfono</t>
  </si>
  <si>
    <t>Supermercado</t>
  </si>
  <si>
    <t>Novey</t>
  </si>
  <si>
    <t>Transporte / Gasolina</t>
  </si>
  <si>
    <t>Tarjeta de crédito</t>
  </si>
  <si>
    <t>Ocio</t>
  </si>
  <si>
    <t>Matricula</t>
  </si>
  <si>
    <t>Zapatos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</si>
  <si>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</si>
  <si>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Pantalón negro</t>
  </si>
  <si>
    <t>Kevin</t>
  </si>
  <si>
    <t>Bag</t>
  </si>
  <si>
    <t>Mamá</t>
  </si>
  <si>
    <t>Samuel</t>
  </si>
  <si>
    <t>Cesar</t>
  </si>
  <si>
    <t xml:space="preserve">David </t>
  </si>
  <si>
    <t>Juego</t>
  </si>
  <si>
    <t>Gym</t>
  </si>
  <si>
    <t>TOTAL DE GASTOS</t>
  </si>
  <si>
    <t>TOTAL PAGADO</t>
  </si>
  <si>
    <t>BALANCE RESTANTE</t>
  </si>
  <si>
    <t>Salario − Gastos pagados</t>
  </si>
  <si>
    <t>Dad</t>
  </si>
  <si>
    <t>Help ppl</t>
  </si>
  <si>
    <t>PYa</t>
  </si>
  <si>
    <t>Bday</t>
  </si>
  <si>
    <t>REDUCIR A 1000$</t>
  </si>
  <si>
    <t>Aniversario</t>
  </si>
  <si>
    <t>susu</t>
  </si>
  <si>
    <t>Jimmy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</si>
</sst>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7">
    <font>
      <sz val="11.0"/>
      <color rgb="FF000000"/>
      <name val="Arial"/>
      <scheme val="minor"/>
    </font>
    <font>
      <b/>
      <sz val="16.0"/>
      <color rgb="FFFFFFFF"/>
      <name val="Arial"/>
    </font>
    <font/>
    <font>
      <b/>
      <sz val="12.0"/>
      <color rgb="FFFFFFFF"/>
      <name val="Arial"/>
    </font>
    <font>
      <b/>
      <sz val="12.0"/>
      <color rgb="FF0000FF"/>
      <name val="Arial"/>
    </font>
    <font>
      <i/>
      <sz val="10.0"/>
      <color rgb="FFFFFFFF"/>
      <name val="Arial"/>
    </font>
    <font>
      <b/>
      <sz val="10.0"/>
      <color theme="1"/>
      <name val="Arial"/>
    </font>
    <font>
      <sz val="10.0"/>
      <color rgb="FF888888"/>
      <name val="Arial"/>
    </font>
    <font>
      <sz val="10.0"/>
      <color rgb="FF0000FF"/>
      <name val="Arial"/>
    </font>
    <font>
      <sz val="10.0"/>
      <color rgb="FF000000"/>
      <name val="Arial"/>
    </font>
    <font>
      <b/>
      <sz val="12.0"/>
      <color rgb="FFFFFF00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FFFF"/>
      <name val="Arial"/>
    </font>
    <font>
      <b/>
      <sz val="13.0"/>
      <color rgb="FF54C6EB"/>
      <name val="Arial"/>
    </font>
    <font>
      <i/>
      <sz val="10.0"/>
      <color rgb="FFAAAAAA"/>
      <name val="Arial"/>
    </font>
    <font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048A81"/>
        <bgColor rgb="FF048A81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54606E"/>
        <bgColor rgb="FF54606E"/>
      </patternFill>
    </fill>
    <fill>
      <patternFill patternType="solid">
        <fgColor rgb="FF1B4332"/>
        <bgColor rgb="FF1B4332"/>
      </patternFill>
    </fill>
    <fill>
      <patternFill patternType="solid">
        <fgColor rgb="FF0A3622"/>
        <bgColor rgb="FF0A3622"/>
      </patternFill>
    </fill>
  </fills>
  <borders count="8">
    <border/>
    <border>
      <left style="medium">
        <color rgb="FF2E4057"/>
      </left>
      <top style="medium">
        <color rgb="FF2E4057"/>
      </top>
      <bottom style="medium">
        <color rgb="FF2E4057"/>
      </bottom>
    </border>
    <border>
      <top style="medium">
        <color rgb="FF2E4057"/>
      </top>
      <bottom style="medium">
        <color rgb="FF2E4057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5" fillId="3" fontId="4" numFmtId="164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left" vertical="center"/>
    </xf>
    <xf borderId="0" fillId="0" fontId="6" numFmtId="0" xfId="0" applyAlignment="1" applyFont="1">
      <alignment horizontal="center" readingOrder="0" shrinkToFit="0" vertical="center" wrapText="0"/>
    </xf>
    <xf borderId="5" fillId="4" fontId="7" numFmtId="0" xfId="0" applyAlignment="1" applyBorder="1" applyFill="1" applyFont="1">
      <alignment shrinkToFit="0" vertical="center" wrapText="0"/>
    </xf>
    <xf borderId="5" fillId="4" fontId="8" numFmtId="0" xfId="0" applyAlignment="1" applyBorder="1" applyFont="1">
      <alignment horizontal="left" shrinkToFit="0" vertical="center" wrapText="0"/>
    </xf>
    <xf borderId="5" fillId="4" fontId="8" numFmtId="164" xfId="0" applyAlignment="1" applyBorder="1" applyFont="1" applyNumberFormat="1">
      <alignment shrinkToFit="0" vertical="center" wrapText="0"/>
    </xf>
    <xf borderId="5" fillId="4" fontId="9" numFmtId="0" xfId="0" applyAlignment="1" applyBorder="1" applyFont="1">
      <alignment readingOrder="0" shrinkToFit="0" vertical="center" wrapText="0"/>
    </xf>
    <xf borderId="5" fillId="4" fontId="9" numFmtId="164" xfId="0" applyAlignment="1" applyBorder="1" applyFont="1" applyNumberFormat="1">
      <alignment shrinkToFit="0" vertical="center" wrapText="0"/>
    </xf>
    <xf borderId="5" fillId="5" fontId="7" numFmtId="0" xfId="0" applyAlignment="1" applyBorder="1" applyFill="1" applyFont="1">
      <alignment shrinkToFit="0" vertical="center" wrapText="0"/>
    </xf>
    <xf borderId="5" fillId="5" fontId="8" numFmtId="0" xfId="0" applyAlignment="1" applyBorder="1" applyFont="1">
      <alignment horizontal="left" shrinkToFit="0" vertical="center" wrapText="0"/>
    </xf>
    <xf borderId="5" fillId="5" fontId="8" numFmtId="164" xfId="0" applyAlignment="1" applyBorder="1" applyFont="1" applyNumberFormat="1">
      <alignment shrinkToFit="0" vertical="center" wrapText="0"/>
    </xf>
    <xf borderId="5" fillId="5" fontId="9" numFmtId="0" xfId="0" applyAlignment="1" applyBorder="1" applyFont="1">
      <alignment shrinkToFit="0" vertical="center" wrapText="0"/>
    </xf>
    <xf borderId="5" fillId="3" fontId="10" numFmtId="164" xfId="0" applyAlignment="1" applyBorder="1" applyFont="1" applyNumberFormat="1">
      <alignment horizontal="center" readingOrder="0" vertical="center"/>
    </xf>
    <xf borderId="5" fillId="5" fontId="9" numFmtId="164" xfId="0" applyAlignment="1" applyBorder="1" applyFont="1" applyNumberFormat="1">
      <alignment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5" fillId="5" fontId="9" numFmtId="0" xfId="0" applyAlignment="1" applyBorder="1" applyFont="1">
      <alignment readingOrder="0" shrinkToFit="0" vertical="center" wrapText="0"/>
    </xf>
    <xf borderId="5" fillId="5" fontId="8" numFmtId="164" xfId="0" applyAlignment="1" applyBorder="1" applyFont="1" applyNumberFormat="1">
      <alignment readingOrder="0" shrinkToFit="0" vertical="center" wrapText="0"/>
    </xf>
    <xf borderId="5" fillId="4" fontId="8" numFmtId="164" xfId="0" applyAlignment="1" applyBorder="1" applyFont="1" applyNumberFormat="1">
      <alignment readingOrder="0" shrinkToFit="0" vertical="center" wrapText="0"/>
    </xf>
    <xf borderId="5" fillId="4" fontId="8" numFmtId="164" xfId="0" applyAlignment="1" applyBorder="1" applyFont="1" applyNumberFormat="1">
      <alignment shrinkToFit="0" vertical="top" wrapText="0"/>
    </xf>
    <xf borderId="5" fillId="4" fontId="9" numFmtId="0" xfId="0" applyAlignment="1" applyBorder="1" applyFont="1">
      <alignment shrinkToFit="0" vertical="center" wrapText="0"/>
    </xf>
    <xf borderId="5" fillId="5" fontId="8" numFmtId="0" xfId="0" applyAlignment="1" applyBorder="1" applyFont="1">
      <alignment horizontal="left" readingOrder="0" shrinkToFit="0" vertical="center" wrapText="0"/>
    </xf>
    <xf borderId="0" fillId="0" fontId="11" numFmtId="164" xfId="0" applyFont="1" applyNumberFormat="1"/>
    <xf borderId="0" fillId="0" fontId="11" numFmtId="0" xfId="0" applyAlignment="1" applyFont="1">
      <alignment readingOrder="0"/>
    </xf>
    <xf borderId="5" fillId="4" fontId="9" numFmtId="0" xfId="0" applyAlignment="1" applyBorder="1" applyFont="1">
      <alignment horizontal="left" readingOrder="0" shrinkToFit="0" vertical="center" wrapText="0"/>
    </xf>
    <xf borderId="5" fillId="5" fontId="9" numFmtId="0" xfId="0" applyAlignment="1" applyBorder="1" applyFont="1">
      <alignment horizontal="left" readingOrder="0" shrinkToFit="0" vertical="center" wrapText="0"/>
    </xf>
    <xf borderId="5" fillId="4" fontId="8" numFmtId="0" xfId="0" applyAlignment="1" applyBorder="1" applyFont="1">
      <alignment horizontal="left" readingOrder="0" shrinkToFit="0" vertical="center" wrapText="0"/>
    </xf>
    <xf borderId="6" fillId="6" fontId="12" numFmtId="0" xfId="0" applyBorder="1" applyFill="1" applyFont="1"/>
    <xf borderId="3" fillId="7" fontId="13" numFmtId="0" xfId="0" applyAlignment="1" applyBorder="1" applyFill="1" applyFont="1">
      <alignment horizontal="center" vertical="center"/>
    </xf>
    <xf borderId="5" fillId="7" fontId="13" numFmtId="164" xfId="0" applyAlignment="1" applyBorder="1" applyFont="1" applyNumberFormat="1">
      <alignment horizontal="center" vertical="center"/>
    </xf>
    <xf borderId="3" fillId="7" fontId="5" numFmtId="0" xfId="0" applyAlignment="1" applyBorder="1" applyFont="1">
      <alignment horizontal="center" vertical="center"/>
    </xf>
    <xf borderId="3" fillId="8" fontId="13" numFmtId="0" xfId="0" applyAlignment="1" applyBorder="1" applyFill="1" applyFont="1">
      <alignment horizontal="center" vertical="center"/>
    </xf>
    <xf borderId="5" fillId="8" fontId="13" numFmtId="164" xfId="0" applyAlignment="1" applyBorder="1" applyFont="1" applyNumberFormat="1">
      <alignment horizontal="center" vertical="center"/>
    </xf>
    <xf borderId="3" fillId="8" fontId="5" numFmtId="0" xfId="0" applyAlignment="1" applyBorder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7" fillId="9" fontId="14" numFmtId="164" xfId="0" applyAlignment="1" applyBorder="1" applyFont="1" applyNumberFormat="1">
      <alignment horizontal="center" vertical="center"/>
    </xf>
    <xf borderId="1" fillId="9" fontId="15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left" shrinkToFit="0" vertical="center" wrapText="0"/>
    </xf>
    <xf borderId="0" fillId="0" fontId="16" numFmtId="0" xfId="0" applyFont="1"/>
    <xf borderId="0" fillId="0" fontId="16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sz val="10.0"/>
        <color rgb="FF1B4332"/>
        <name val="Arial"/>
      </font>
      <fill>
        <patternFill patternType="solid">
          <fgColor rgb="FFD4EDDA"/>
          <bgColor rgb="FFD4EDDA"/>
        </patternFill>
      </fill>
      <border/>
    </dxf>
  </dxfs>
  <tableStyles count="11">
    <tableStyle count="4" pivot="0" name="Presupue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 Abr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deMa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 de May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 de Jun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 de Jun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 de 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 de Jul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 de 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0deAgos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deSe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E21" displayName="Tabla_1" name="Tabla_1" id="1">
  <tableColumns count="5">
    <tableColumn name="#" id="1"/>
    <tableColumn name="Descripción del Gasto" id="2"/>
    <tableColumn name="Monto (B/.)" id="3"/>
    <tableColumn name="¿Pagado?" id="4"/>
    <tableColumn name="Monto Pagado" id="5"/>
  </tableColumns>
  <tableStyleInfo name="Presupuesto-style" showColumnStripes="0" showFirstColumn="1" showLastColumn="1" showRowStripes="1"/>
</table>
</file>

<file path=xl/tables/table2.xml><?xml version="1.0" encoding="utf-8"?>
<table xmlns="http://schemas.openxmlformats.org/spreadsheetml/2006/main" ref="A6:F21" displayName="Tabla_2" name="Tabla_2" id="2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30 Abril-style" showColumnStripes="0" showFirstColumn="1" showLastColumn="1" showRowStripes="1"/>
</table>
</file>

<file path=xl/tables/table3.xml><?xml version="1.0" encoding="utf-8"?>
<table xmlns="http://schemas.openxmlformats.org/spreadsheetml/2006/main" ref="A6:F21" displayName="Tabla" name="Tabla" id="3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15deMayo-style" showColumnStripes="0" showFirstColumn="1" showLastColumn="1" showRowStripes="1"/>
</table>
</file>

<file path=xl/tables/table4.xml><?xml version="1.0" encoding="utf-8"?>
<table xmlns="http://schemas.openxmlformats.org/spreadsheetml/2006/main" ref="A6:F21" displayName="Tabla_3" name="Tabla_3" id="4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30 de Mayo-style" showColumnStripes="0" showFirstColumn="1" showLastColumn="1" showRowStripes="1"/>
</table>
</file>

<file path=xl/tables/table5.xml><?xml version="1.0" encoding="utf-8"?>
<table xmlns="http://schemas.openxmlformats.org/spreadsheetml/2006/main" ref="A6:F21" displayName="Tabla_4" name="Tabla_4" id="5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15 de Junio-style" showColumnStripes="0" showFirstColumn="1" showLastColumn="1" showRowStripes="1"/>
</table>
</file>

<file path=xl/tables/table6.xml><?xml version="1.0" encoding="utf-8"?>
<table xmlns="http://schemas.openxmlformats.org/spreadsheetml/2006/main" ref="A6:F21" displayName="Tabla_5" name="Tabla_5" id="6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30 de Junio-style" showColumnStripes="0" showFirstColumn="1" showLastColumn="1" showRowStripes="1"/>
</table>
</file>

<file path=xl/tables/table7.xml><?xml version="1.0" encoding="utf-8"?>
<table xmlns="http://schemas.openxmlformats.org/spreadsheetml/2006/main" ref="A6:F21" displayName="Tabla_6" name="Tabla_6" id="7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15 de Julio-style" showColumnStripes="0" showFirstColumn="1" showLastColumn="1" showRowStripes="1"/>
</table>
</file>

<file path=xl/tables/table8.xml><?xml version="1.0" encoding="utf-8"?>
<table xmlns="http://schemas.openxmlformats.org/spreadsheetml/2006/main" ref="A6:F21" displayName="Tabla_7" name="Tabla_7" id="8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30 de Julio-style" showColumnStripes="0" showFirstColumn="1" showLastColumn="1" showRowStripes="1"/>
</table>
</file>

<file path=xl/tables/table9.xml><?xml version="1.0" encoding="utf-8"?>
<table xmlns="http://schemas.openxmlformats.org/spreadsheetml/2006/main" ref="A6:F21" displayName="Tabla_8" name="Tabla_8" id="9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15 de Agosto-style" showColumnStripes="0" showFirstColumn="1" showLastColumn="1" showRowStripes="1"/>
</table>
</file>

<file path=xl/tables/table10.xml><?xml version="1.0" encoding="utf-8"?>
<table xmlns="http://schemas.openxmlformats.org/spreadsheetml/2006/main" ref="A6:F21" displayName="Tabla_9" name="Tabla_9" id="10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30deAgosto-style" showColumnStripes="0" showFirstColumn="1" showLastColumn="1" showRowStripes="1"/>
</table>
</file>

<file path=xl/tables/table11.xml><?xml version="1.0" encoding="utf-8"?>
<table xmlns="http://schemas.openxmlformats.org/spreadsheetml/2006/main" ref="A6:F21" displayName="Tabla_10" name="Tabla_10" id="11">
  <tableColumns count="6">
    <tableColumn name="#" id="1"/>
    <tableColumn name="Descripción del Gasto" id="2"/>
    <tableColumn name="Monto (B/.)" id="3"/>
    <tableColumn name="¿Pagado?" id="4"/>
    <tableColumn name="Monto Pagado" id="5"/>
    <tableColumn name="Monto debt" id="6"/>
  </tableColumns>
  <tableStyleInfo name="15deS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5.0"/>
    <col customWidth="1" min="2" max="2" width="30.0"/>
    <col customWidth="1" min="3" max="3" width="18.0"/>
    <col customWidth="1" min="4" max="4" width="16.75"/>
    <col customWidth="1" min="5" max="5" width="20.25"/>
    <col customWidth="1" min="6" max="6" width="8.75"/>
    <col customWidth="1" min="7" max="26" width="14.38"/>
  </cols>
  <sheetData>
    <row r="1" ht="13.5" customHeight="1"/>
    <row r="2" ht="36.0" customHeight="1">
      <c r="A2" s="1" t="s">
        <v>0</v>
      </c>
      <c r="B2" s="2"/>
      <c r="C2" s="2"/>
      <c r="D2" s="2"/>
      <c r="E2" s="2"/>
    </row>
    <row r="3" ht="13.5" customHeight="1"/>
    <row r="4" ht="36.0" customHeight="1">
      <c r="A4" s="3" t="s">
        <v>1</v>
      </c>
      <c r="B4" s="4"/>
      <c r="C4" s="5">
        <v>670.0</v>
      </c>
      <c r="D4" s="6" t="s">
        <v>2</v>
      </c>
      <c r="E4" s="4"/>
    </row>
    <row r="5" ht="13.5" customHeight="1"/>
    <row r="6" ht="27.7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</row>
    <row r="7" ht="21.75" customHeight="1">
      <c r="A7" s="8">
        <v>1.0</v>
      </c>
      <c r="B7" s="9" t="s">
        <v>8</v>
      </c>
      <c r="C7" s="10">
        <v>80.0</v>
      </c>
      <c r="D7" s="11" t="s">
        <v>9</v>
      </c>
      <c r="E7" s="12">
        <f t="shared" ref="E7:E21" si="1">IF(D7="✅ Sí",C7,0)</f>
        <v>80</v>
      </c>
    </row>
    <row r="8" ht="21.75" customHeight="1">
      <c r="A8" s="13">
        <v>2.0</v>
      </c>
      <c r="B8" s="14" t="s">
        <v>10</v>
      </c>
      <c r="C8" s="15">
        <v>0.0</v>
      </c>
      <c r="D8" s="16" t="s">
        <v>11</v>
      </c>
      <c r="E8" s="18">
        <f t="shared" si="1"/>
        <v>0</v>
      </c>
    </row>
    <row r="9" ht="21.75" customHeight="1">
      <c r="A9" s="8">
        <v>3.0</v>
      </c>
      <c r="B9" s="9" t="s">
        <v>12</v>
      </c>
      <c r="C9" s="10">
        <v>70.0</v>
      </c>
      <c r="D9" s="11" t="s">
        <v>9</v>
      </c>
      <c r="E9" s="12">
        <f t="shared" si="1"/>
        <v>70</v>
      </c>
    </row>
    <row r="10" ht="21.75" customHeight="1">
      <c r="A10" s="13">
        <v>4.0</v>
      </c>
      <c r="B10" s="14" t="s">
        <v>14</v>
      </c>
      <c r="C10" s="15">
        <v>25.0</v>
      </c>
      <c r="D10" s="20" t="s">
        <v>9</v>
      </c>
      <c r="E10" s="18">
        <f t="shared" si="1"/>
        <v>25</v>
      </c>
    </row>
    <row r="11" ht="21.75" customHeight="1">
      <c r="A11" s="8">
        <v>5.0</v>
      </c>
      <c r="B11" s="9" t="s">
        <v>15</v>
      </c>
      <c r="C11" s="23">
        <v>0.0</v>
      </c>
      <c r="D11" s="24" t="s">
        <v>11</v>
      </c>
      <c r="E11" s="12">
        <f t="shared" si="1"/>
        <v>0</v>
      </c>
    </row>
    <row r="12" ht="21.75" customHeight="1">
      <c r="A12" s="13">
        <v>6.0</v>
      </c>
      <c r="B12" s="14" t="s">
        <v>17</v>
      </c>
      <c r="C12" s="15">
        <v>60.0</v>
      </c>
      <c r="D12" s="20" t="s">
        <v>9</v>
      </c>
      <c r="E12" s="18">
        <f t="shared" si="1"/>
        <v>60</v>
      </c>
    </row>
    <row r="13" ht="21.75" customHeight="1">
      <c r="A13" s="8">
        <v>7.0</v>
      </c>
      <c r="B13" s="9" t="s">
        <v>19</v>
      </c>
      <c r="C13" s="22">
        <v>60.0</v>
      </c>
      <c r="D13" s="11" t="s">
        <v>9</v>
      </c>
      <c r="E13" s="12">
        <f t="shared" si="1"/>
        <v>60</v>
      </c>
    </row>
    <row r="14" ht="21.75" customHeight="1">
      <c r="A14" s="13">
        <v>8.0</v>
      </c>
      <c r="B14" s="14" t="s">
        <v>18</v>
      </c>
      <c r="C14" s="21">
        <v>159.0</v>
      </c>
      <c r="D14" s="20" t="s">
        <v>9</v>
      </c>
      <c r="E14" s="18">
        <f t="shared" si="1"/>
        <v>159</v>
      </c>
    </row>
    <row r="15" ht="21.75" customHeight="1">
      <c r="A15" s="8">
        <v>9.0</v>
      </c>
      <c r="B15" s="9" t="s">
        <v>20</v>
      </c>
      <c r="C15" s="10">
        <v>41.0</v>
      </c>
      <c r="D15" s="11" t="s">
        <v>9</v>
      </c>
      <c r="E15" s="12">
        <f t="shared" si="1"/>
        <v>41</v>
      </c>
    </row>
    <row r="16" ht="21.75" customHeight="1">
      <c r="A16" s="13">
        <v>10.0</v>
      </c>
      <c r="B16" s="14" t="s">
        <v>21</v>
      </c>
      <c r="C16" s="21">
        <v>60.0</v>
      </c>
      <c r="D16" s="20" t="s">
        <v>9</v>
      </c>
      <c r="E16" s="18">
        <f t="shared" si="1"/>
        <v>60</v>
      </c>
    </row>
    <row r="17" ht="21.75" customHeight="1">
      <c r="A17" s="8">
        <v>11.0</v>
      </c>
      <c r="B17" s="28" t="s">
        <v>23</v>
      </c>
      <c r="C17" s="22">
        <v>20.0</v>
      </c>
      <c r="D17" s="24" t="s">
        <v>11</v>
      </c>
      <c r="E17" s="12">
        <f t="shared" si="1"/>
        <v>0</v>
      </c>
    </row>
    <row r="18" ht="21.75" customHeight="1">
      <c r="A18" s="13">
        <v>12.0</v>
      </c>
      <c r="B18" s="29" t="s">
        <v>24</v>
      </c>
      <c r="C18" s="21">
        <v>33.0</v>
      </c>
      <c r="D18" s="20" t="s">
        <v>9</v>
      </c>
      <c r="E18" s="18">
        <f t="shared" si="1"/>
        <v>33</v>
      </c>
    </row>
    <row r="19" ht="21.75" customHeight="1">
      <c r="A19" s="8">
        <v>13.0</v>
      </c>
      <c r="B19" s="28" t="s">
        <v>26</v>
      </c>
      <c r="C19" s="22">
        <v>22.0</v>
      </c>
      <c r="D19" s="11" t="s">
        <v>9</v>
      </c>
      <c r="E19" s="12">
        <f t="shared" si="1"/>
        <v>22</v>
      </c>
    </row>
    <row r="20" ht="21.75" customHeight="1">
      <c r="A20" s="13">
        <v>14.0</v>
      </c>
      <c r="B20" s="29" t="s">
        <v>30</v>
      </c>
      <c r="C20" s="21">
        <v>35.0</v>
      </c>
      <c r="D20" s="20" t="s">
        <v>9</v>
      </c>
      <c r="E20" s="18">
        <f t="shared" si="1"/>
        <v>35</v>
      </c>
    </row>
    <row r="21" ht="21.75" customHeight="1">
      <c r="A21" s="8">
        <v>15.0</v>
      </c>
      <c r="B21" s="28" t="s">
        <v>31</v>
      </c>
      <c r="C21" s="22">
        <v>15.0</v>
      </c>
      <c r="D21" s="11" t="s">
        <v>9</v>
      </c>
      <c r="E21" s="12">
        <f t="shared" si="1"/>
        <v>15</v>
      </c>
    </row>
    <row r="22" ht="6.0" customHeight="1">
      <c r="A22" s="31"/>
      <c r="B22" s="31"/>
      <c r="C22" s="31"/>
      <c r="D22" s="31"/>
      <c r="E22" s="31"/>
    </row>
    <row r="23" ht="25.5" customHeight="1">
      <c r="A23" s="32" t="s">
        <v>32</v>
      </c>
      <c r="B23" s="4"/>
      <c r="C23" s="33">
        <f>SUM(C7:C21)</f>
        <v>680</v>
      </c>
      <c r="D23" s="34" t="str">
        <f>TEXT(COUNTA(A7:A21),"0")&amp;" gastos registrados"</f>
        <v>15 gastos registrados</v>
      </c>
      <c r="E23" s="4"/>
    </row>
    <row r="24" ht="25.5" customHeight="1">
      <c r="A24" s="35" t="s">
        <v>33</v>
      </c>
      <c r="B24" s="4"/>
      <c r="C24" s="36">
        <f>SUM(E7:E21)</f>
        <v>660</v>
      </c>
      <c r="D24" s="37" t="str">
        <f>COUNTIF(D7:D21,"✅ Sí")&amp;" de 15 pagados"</f>
        <v>12 de 15 pagados</v>
      </c>
      <c r="E24" s="4"/>
    </row>
    <row r="25" ht="25.5" customHeight="1">
      <c r="A25" s="38" t="s">
        <v>34</v>
      </c>
      <c r="B25" s="2"/>
      <c r="C25" s="39">
        <f>C4-SUM(E7:E21)</f>
        <v>10</v>
      </c>
      <c r="D25" s="40" t="s">
        <v>35</v>
      </c>
      <c r="E25" s="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E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v>395.0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8">
        <v>1.0</v>
      </c>
      <c r="B7" s="9" t="s">
        <v>8</v>
      </c>
      <c r="C7" s="10">
        <v>80.0</v>
      </c>
      <c r="D7" s="11" t="s">
        <v>9</v>
      </c>
      <c r="E7" s="12">
        <f t="shared" ref="E7:E21" si="1">IF(D7="✅ Sí",C7,0)</f>
        <v>80</v>
      </c>
      <c r="F7" s="21">
        <v>344.0</v>
      </c>
    </row>
    <row r="8" ht="22.5" customHeight="1">
      <c r="A8" s="13">
        <v>2.0</v>
      </c>
      <c r="B8" s="25" t="s">
        <v>16</v>
      </c>
      <c r="C8" s="21">
        <v>19.59</v>
      </c>
      <c r="D8" s="20" t="s">
        <v>9</v>
      </c>
      <c r="E8" s="18">
        <f t="shared" si="1"/>
        <v>19.59</v>
      </c>
      <c r="F8" s="21">
        <v>0.0</v>
      </c>
    </row>
    <row r="9" ht="22.5" customHeight="1">
      <c r="A9" s="8">
        <v>3.0</v>
      </c>
      <c r="B9" s="9" t="s">
        <v>12</v>
      </c>
      <c r="C9" s="22">
        <v>0.0</v>
      </c>
      <c r="D9" s="11" t="s">
        <v>11</v>
      </c>
      <c r="E9" s="12">
        <f t="shared" si="1"/>
        <v>0</v>
      </c>
      <c r="F9" s="21">
        <v>1330.0</v>
      </c>
    </row>
    <row r="10" ht="22.5" customHeight="1">
      <c r="A10" s="13">
        <v>4.0</v>
      </c>
      <c r="B10" s="14" t="s">
        <v>14</v>
      </c>
      <c r="C10" s="15">
        <v>25.0</v>
      </c>
      <c r="D10" s="20" t="s">
        <v>9</v>
      </c>
      <c r="E10" s="18">
        <f t="shared" si="1"/>
        <v>25</v>
      </c>
      <c r="F10" s="21">
        <v>0.0</v>
      </c>
    </row>
    <row r="11" ht="22.5" customHeight="1">
      <c r="A11" s="8">
        <v>5.0</v>
      </c>
      <c r="B11" s="9" t="s">
        <v>15</v>
      </c>
      <c r="C11" s="23">
        <v>0.0</v>
      </c>
      <c r="D11" s="24" t="s">
        <v>11</v>
      </c>
      <c r="E11" s="12">
        <f t="shared" si="1"/>
        <v>0</v>
      </c>
      <c r="F11" s="21">
        <v>0.0</v>
      </c>
      <c r="H11" s="27" t="s">
        <v>22</v>
      </c>
    </row>
    <row r="12" ht="22.5" customHeight="1">
      <c r="A12" s="13">
        <v>6.0</v>
      </c>
      <c r="B12" s="14" t="s">
        <v>17</v>
      </c>
      <c r="C12" s="15">
        <v>60.0</v>
      </c>
      <c r="D12" s="20" t="s">
        <v>9</v>
      </c>
      <c r="E12" s="18">
        <f t="shared" si="1"/>
        <v>60</v>
      </c>
      <c r="F12" s="21">
        <v>0.0</v>
      </c>
    </row>
    <row r="13" ht="22.5" customHeight="1">
      <c r="A13" s="8">
        <v>7.0</v>
      </c>
      <c r="B13" s="9" t="s">
        <v>19</v>
      </c>
      <c r="C13" s="22">
        <v>60.0</v>
      </c>
      <c r="D13" s="11" t="s">
        <v>9</v>
      </c>
      <c r="E13" s="12">
        <f t="shared" si="1"/>
        <v>60</v>
      </c>
      <c r="F13" s="21">
        <v>0.0</v>
      </c>
    </row>
    <row r="14" ht="22.5" customHeight="1">
      <c r="A14" s="13">
        <v>8.0</v>
      </c>
      <c r="B14" s="14" t="s">
        <v>18</v>
      </c>
      <c r="C14" s="21">
        <v>109.0</v>
      </c>
      <c r="D14" s="20" t="s">
        <v>9</v>
      </c>
      <c r="E14" s="18">
        <f t="shared" si="1"/>
        <v>109</v>
      </c>
      <c r="F14" s="21">
        <v>1565.0</v>
      </c>
    </row>
    <row r="15" ht="22.5" customHeight="1">
      <c r="A15" s="8">
        <v>9.0</v>
      </c>
      <c r="B15" s="30" t="s">
        <v>28</v>
      </c>
      <c r="C15" s="22">
        <v>21.4</v>
      </c>
      <c r="D15" s="11" t="s">
        <v>9</v>
      </c>
      <c r="E15" s="12">
        <f t="shared" si="1"/>
        <v>21.4</v>
      </c>
      <c r="F15" s="21">
        <v>0.0</v>
      </c>
    </row>
    <row r="16" ht="22.5" customHeight="1">
      <c r="A16" s="13">
        <v>10.0</v>
      </c>
      <c r="B16" s="25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374.99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374.99</v>
      </c>
      <c r="D24" s="37" t="str">
        <f>COUNTIF(D7:D21,"✅ Sí")&amp;" de 15 pagados"</f>
        <v>7 de 15 pagados</v>
      </c>
      <c r="E24" s="4"/>
    </row>
    <row r="25">
      <c r="A25" s="38" t="s">
        <v>34</v>
      </c>
      <c r="B25" s="2"/>
      <c r="C25" s="39">
        <f>C4-SUM(E7:E21)</f>
        <v>20.01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v>505.0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8">
        <v>1.0</v>
      </c>
      <c r="B7" s="9" t="s">
        <v>8</v>
      </c>
      <c r="C7" s="22">
        <v>75.0</v>
      </c>
      <c r="D7" s="11" t="s">
        <v>9</v>
      </c>
      <c r="E7" s="12">
        <f t="shared" ref="E7:E21" si="1">IF(D7="✅ Sí",C7,0)</f>
        <v>75</v>
      </c>
      <c r="F7" s="21">
        <v>273.0</v>
      </c>
    </row>
    <row r="8" ht="22.5" customHeight="1">
      <c r="A8" s="13">
        <v>2.0</v>
      </c>
      <c r="B8" s="14" t="s">
        <v>18</v>
      </c>
      <c r="C8" s="21">
        <v>130.0</v>
      </c>
      <c r="D8" s="20" t="s">
        <v>9</v>
      </c>
      <c r="E8" s="18">
        <f t="shared" si="1"/>
        <v>130</v>
      </c>
      <c r="F8" s="21">
        <f>1665-(C8+C13)+30+C14</f>
        <v>1580</v>
      </c>
      <c r="H8" s="26">
        <f>1680-F8</f>
        <v>100</v>
      </c>
    </row>
    <row r="9" ht="22.5" customHeight="1">
      <c r="A9" s="8">
        <v>3.0</v>
      </c>
      <c r="B9" s="9" t="s">
        <v>12</v>
      </c>
      <c r="C9" s="22">
        <v>70.0</v>
      </c>
      <c r="D9" s="11" t="s">
        <v>9</v>
      </c>
      <c r="E9" s="12">
        <f t="shared" si="1"/>
        <v>70</v>
      </c>
      <c r="F9" s="21">
        <v>1260.0</v>
      </c>
    </row>
    <row r="10" ht="22.5" customHeight="1">
      <c r="A10" s="13">
        <v>4.0</v>
      </c>
      <c r="B10" s="14" t="s">
        <v>14</v>
      </c>
      <c r="C10" s="15">
        <v>25.0</v>
      </c>
      <c r="D10" s="20" t="s">
        <v>9</v>
      </c>
      <c r="E10" s="18">
        <f t="shared" si="1"/>
        <v>25</v>
      </c>
      <c r="F10" s="21">
        <v>0.0</v>
      </c>
    </row>
    <row r="11" ht="22.5" customHeight="1">
      <c r="A11" s="8">
        <v>5.0</v>
      </c>
      <c r="B11" s="9" t="s">
        <v>19</v>
      </c>
      <c r="C11" s="22">
        <v>60.0</v>
      </c>
      <c r="D11" s="11" t="s">
        <v>9</v>
      </c>
      <c r="E11" s="12">
        <f t="shared" si="1"/>
        <v>60</v>
      </c>
      <c r="F11" s="21">
        <v>0.0</v>
      </c>
      <c r="G11" s="27" t="s">
        <v>22</v>
      </c>
    </row>
    <row r="12" ht="22.5" customHeight="1">
      <c r="A12" s="13">
        <v>6.0</v>
      </c>
      <c r="B12" s="14" t="s">
        <v>17</v>
      </c>
      <c r="C12" s="15">
        <v>60.0</v>
      </c>
      <c r="D12" s="20" t="s">
        <v>9</v>
      </c>
      <c r="E12" s="18">
        <f t="shared" si="1"/>
        <v>60</v>
      </c>
      <c r="F12" s="21">
        <v>0.0</v>
      </c>
    </row>
    <row r="13" ht="22.5" customHeight="1">
      <c r="A13" s="8">
        <v>7.0</v>
      </c>
      <c r="B13" s="30" t="s">
        <v>25</v>
      </c>
      <c r="C13" s="22">
        <v>5.0</v>
      </c>
      <c r="D13" s="11" t="s">
        <v>9</v>
      </c>
      <c r="E13" s="12">
        <f t="shared" si="1"/>
        <v>5</v>
      </c>
      <c r="F13" s="21">
        <v>0.0</v>
      </c>
    </row>
    <row r="14" ht="22.5" customHeight="1">
      <c r="A14" s="13">
        <v>8.0</v>
      </c>
      <c r="B14" s="25" t="s">
        <v>27</v>
      </c>
      <c r="C14" s="21">
        <v>20.0</v>
      </c>
      <c r="D14" s="20" t="s">
        <v>9</v>
      </c>
      <c r="E14" s="18">
        <f t="shared" si="1"/>
        <v>20</v>
      </c>
      <c r="F14" s="21">
        <v>0.0</v>
      </c>
    </row>
    <row r="15" ht="22.5" customHeight="1">
      <c r="A15" s="8">
        <v>9.0</v>
      </c>
      <c r="B15" s="9"/>
      <c r="C15" s="22">
        <v>0.0</v>
      </c>
      <c r="D15" s="11" t="s">
        <v>11</v>
      </c>
      <c r="E15" s="12">
        <f t="shared" si="1"/>
        <v>0</v>
      </c>
      <c r="F15" s="21">
        <v>0.0</v>
      </c>
    </row>
    <row r="16" ht="22.5" customHeight="1">
      <c r="A16" s="13">
        <v>10.0</v>
      </c>
      <c r="B16" s="14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445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445</v>
      </c>
      <c r="D24" s="37" t="str">
        <f>COUNTIF(D7:D21,"✅ Sí")&amp;" de 15 pagados"</f>
        <v>8 de 15 pagados</v>
      </c>
      <c r="E24" s="4"/>
    </row>
    <row r="25">
      <c r="A25" s="38" t="s">
        <v>34</v>
      </c>
      <c r="B25" s="2"/>
      <c r="C25" s="39">
        <f>C4-SUM(E7:E21)</f>
        <v>60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v>505.0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8">
        <v>1.0</v>
      </c>
      <c r="B7" s="9" t="s">
        <v>8</v>
      </c>
      <c r="C7" s="22">
        <v>95.0</v>
      </c>
      <c r="D7" s="11" t="s">
        <v>9</v>
      </c>
      <c r="E7" s="12">
        <f t="shared" ref="E7:E21" si="1">IF(D7="✅ Sí",C7,0)</f>
        <v>95</v>
      </c>
      <c r="F7" s="21">
        <v>174.0</v>
      </c>
      <c r="H7" s="26">
        <f>1680-F8</f>
        <v>315</v>
      </c>
    </row>
    <row r="8" ht="22.5" customHeight="1">
      <c r="A8" s="13">
        <v>2.0</v>
      </c>
      <c r="B8" s="14" t="s">
        <v>18</v>
      </c>
      <c r="C8" s="21">
        <v>215.0</v>
      </c>
      <c r="D8" s="20" t="s">
        <v>9</v>
      </c>
      <c r="E8" s="18">
        <f t="shared" si="1"/>
        <v>215</v>
      </c>
      <c r="F8" s="21">
        <f>'15deMayo'!F8 - C8</f>
        <v>1365</v>
      </c>
    </row>
    <row r="9" ht="22.5" customHeight="1">
      <c r="A9" s="8">
        <v>3.0</v>
      </c>
      <c r="B9" s="9" t="s">
        <v>12</v>
      </c>
      <c r="C9" s="22">
        <v>0.0</v>
      </c>
      <c r="D9" s="11" t="s">
        <v>9</v>
      </c>
      <c r="E9" s="12">
        <f t="shared" si="1"/>
        <v>0</v>
      </c>
      <c r="F9" s="21">
        <v>1225.0</v>
      </c>
    </row>
    <row r="10" ht="22.5" customHeight="1">
      <c r="A10" s="13">
        <v>4.0</v>
      </c>
      <c r="B10" s="14" t="s">
        <v>14</v>
      </c>
      <c r="C10" s="15">
        <v>25.0</v>
      </c>
      <c r="D10" s="20" t="s">
        <v>9</v>
      </c>
      <c r="E10" s="18">
        <f t="shared" si="1"/>
        <v>25</v>
      </c>
      <c r="F10" s="21">
        <v>0.0</v>
      </c>
    </row>
    <row r="11" ht="22.5" customHeight="1">
      <c r="A11" s="8">
        <v>5.0</v>
      </c>
      <c r="B11" s="9" t="s">
        <v>19</v>
      </c>
      <c r="C11" s="22">
        <v>80.0</v>
      </c>
      <c r="D11" s="11" t="s">
        <v>9</v>
      </c>
      <c r="E11" s="12">
        <f t="shared" si="1"/>
        <v>80</v>
      </c>
      <c r="F11" s="21">
        <v>0.0</v>
      </c>
      <c r="H11" s="27" t="s">
        <v>22</v>
      </c>
    </row>
    <row r="12" ht="22.5" customHeight="1">
      <c r="A12" s="13">
        <v>6.0</v>
      </c>
      <c r="B12" s="14" t="s">
        <v>17</v>
      </c>
      <c r="C12" s="15">
        <v>60.0</v>
      </c>
      <c r="D12" s="20" t="s">
        <v>9</v>
      </c>
      <c r="E12" s="18">
        <f t="shared" si="1"/>
        <v>60</v>
      </c>
      <c r="F12" s="21">
        <v>0.0</v>
      </c>
    </row>
    <row r="13" ht="22.5" customHeight="1">
      <c r="A13" s="8">
        <v>7.0</v>
      </c>
      <c r="B13" s="30" t="s">
        <v>29</v>
      </c>
      <c r="C13" s="22">
        <v>5.0</v>
      </c>
      <c r="D13" s="11" t="s">
        <v>9</v>
      </c>
      <c r="E13" s="12">
        <f t="shared" si="1"/>
        <v>5</v>
      </c>
      <c r="F13" s="21">
        <v>0.0</v>
      </c>
    </row>
    <row r="14" ht="22.5" customHeight="1">
      <c r="A14" s="13">
        <v>8.0</v>
      </c>
      <c r="B14" s="14"/>
      <c r="C14" s="21">
        <v>0.0</v>
      </c>
      <c r="D14" s="20" t="s">
        <v>11</v>
      </c>
      <c r="E14" s="18">
        <f t="shared" si="1"/>
        <v>0</v>
      </c>
      <c r="F14" s="21">
        <v>0.0</v>
      </c>
    </row>
    <row r="15" ht="22.5" customHeight="1">
      <c r="A15" s="8">
        <v>9.0</v>
      </c>
      <c r="B15" s="9"/>
      <c r="C15" s="22">
        <v>0.0</v>
      </c>
      <c r="D15" s="11" t="s">
        <v>11</v>
      </c>
      <c r="E15" s="12">
        <f t="shared" si="1"/>
        <v>0</v>
      </c>
      <c r="F15" s="21">
        <v>0.0</v>
      </c>
    </row>
    <row r="16" ht="22.5" customHeight="1">
      <c r="A16" s="13">
        <v>10.0</v>
      </c>
      <c r="B16" s="14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480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480</v>
      </c>
      <c r="D24" s="37" t="str">
        <f>COUNTIF(D7:D21,"✅ Sí")&amp;" de 15 pagados"</f>
        <v>7 de 15 pagados</v>
      </c>
      <c r="E24" s="4"/>
    </row>
    <row r="25">
      <c r="A25" s="38" t="s">
        <v>34</v>
      </c>
      <c r="B25" s="2"/>
      <c r="C25" s="39">
        <f>C4-SUM(E7:E21)</f>
        <v>25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v>505.0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8">
        <v>1.0</v>
      </c>
      <c r="B7" s="9" t="s">
        <v>8</v>
      </c>
      <c r="C7" s="22">
        <v>70.0</v>
      </c>
      <c r="D7" s="11" t="s">
        <v>9</v>
      </c>
      <c r="E7" s="12">
        <f t="shared" ref="E7:E21" si="1">IF(D7="✅ Sí",C7,0)</f>
        <v>70</v>
      </c>
      <c r="F7" s="21">
        <v>89.0</v>
      </c>
    </row>
    <row r="8" ht="22.5" customHeight="1">
      <c r="A8" s="13">
        <v>2.0</v>
      </c>
      <c r="B8" s="14" t="s">
        <v>18</v>
      </c>
      <c r="C8" s="21">
        <v>10.0</v>
      </c>
      <c r="D8" s="20" t="s">
        <v>11</v>
      </c>
      <c r="E8" s="18">
        <f t="shared" si="1"/>
        <v>0</v>
      </c>
      <c r="F8" s="21">
        <f>'30 de Mayo'!F8 *1.022 - C8</f>
        <v>1385.03</v>
      </c>
      <c r="H8" s="26">
        <f>1680-F8</f>
        <v>294.97</v>
      </c>
    </row>
    <row r="9" ht="22.5" customHeight="1">
      <c r="A9" s="8">
        <v>3.0</v>
      </c>
      <c r="B9" s="9" t="s">
        <v>12</v>
      </c>
      <c r="C9" s="22">
        <v>70.0</v>
      </c>
      <c r="D9" s="11" t="s">
        <v>9</v>
      </c>
      <c r="E9" s="12">
        <f t="shared" si="1"/>
        <v>70</v>
      </c>
      <c r="F9" s="21">
        <v>1190.0</v>
      </c>
    </row>
    <row r="10" ht="22.5" customHeight="1">
      <c r="A10" s="13">
        <v>4.0</v>
      </c>
      <c r="B10" s="14" t="s">
        <v>14</v>
      </c>
      <c r="C10" s="21">
        <v>20.0</v>
      </c>
      <c r="D10" s="20" t="s">
        <v>9</v>
      </c>
      <c r="E10" s="18">
        <f t="shared" si="1"/>
        <v>20</v>
      </c>
      <c r="F10" s="21">
        <v>0.0</v>
      </c>
    </row>
    <row r="11" ht="22.5" customHeight="1">
      <c r="A11" s="8">
        <v>5.0</v>
      </c>
      <c r="B11" s="9" t="s">
        <v>19</v>
      </c>
      <c r="C11" s="22">
        <v>60.0</v>
      </c>
      <c r="D11" s="11" t="s">
        <v>9</v>
      </c>
      <c r="E11" s="12">
        <f t="shared" si="1"/>
        <v>60</v>
      </c>
      <c r="F11" s="21">
        <v>0.0</v>
      </c>
      <c r="G11" s="27" t="s">
        <v>22</v>
      </c>
    </row>
    <row r="12" ht="22.5" customHeight="1">
      <c r="A12" s="13">
        <v>6.0</v>
      </c>
      <c r="B12" s="14" t="s">
        <v>17</v>
      </c>
      <c r="C12" s="21">
        <v>50.0</v>
      </c>
      <c r="D12" s="20" t="s">
        <v>9</v>
      </c>
      <c r="E12" s="18">
        <f t="shared" si="1"/>
        <v>50</v>
      </c>
      <c r="F12" s="21">
        <v>0.0</v>
      </c>
    </row>
    <row r="13" ht="22.5" customHeight="1">
      <c r="A13" s="8">
        <v>7.0</v>
      </c>
      <c r="B13" s="30" t="s">
        <v>36</v>
      </c>
      <c r="C13" s="22">
        <v>30.0</v>
      </c>
      <c r="D13" s="11" t="s">
        <v>11</v>
      </c>
      <c r="E13" s="12">
        <f t="shared" si="1"/>
        <v>0</v>
      </c>
      <c r="F13" s="21">
        <v>0.0</v>
      </c>
    </row>
    <row r="14" ht="22.5" customHeight="1">
      <c r="A14" s="13">
        <v>8.0</v>
      </c>
      <c r="B14" s="14"/>
      <c r="C14" s="21">
        <v>0.0</v>
      </c>
      <c r="D14" s="20" t="s">
        <v>11</v>
      </c>
      <c r="E14" s="18">
        <f t="shared" si="1"/>
        <v>0</v>
      </c>
      <c r="F14" s="21">
        <v>0.0</v>
      </c>
    </row>
    <row r="15" ht="22.5" customHeight="1">
      <c r="A15" s="8">
        <v>9.0</v>
      </c>
      <c r="B15" s="9"/>
      <c r="C15" s="22">
        <v>0.0</v>
      </c>
      <c r="D15" s="11" t="s">
        <v>11</v>
      </c>
      <c r="E15" s="12">
        <f t="shared" si="1"/>
        <v>0</v>
      </c>
      <c r="F15" s="21">
        <v>0.0</v>
      </c>
    </row>
    <row r="16" ht="22.5" customHeight="1">
      <c r="A16" s="13">
        <v>10.0</v>
      </c>
      <c r="B16" s="14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310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270</v>
      </c>
      <c r="D24" s="37" t="str">
        <f>COUNTIF(D7:D21,"✅ Sí")&amp;" de 15 pagados"</f>
        <v>5 de 15 pagados</v>
      </c>
      <c r="E24" s="4"/>
    </row>
    <row r="25">
      <c r="A25" s="38" t="s">
        <v>34</v>
      </c>
      <c r="B25" s="2"/>
      <c r="C25" s="39">
        <f>C4-SUM(E7:E21)</f>
        <v>235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v>505.0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8">
        <v>1.0</v>
      </c>
      <c r="B7" s="9" t="s">
        <v>8</v>
      </c>
      <c r="C7" s="22">
        <v>70.0</v>
      </c>
      <c r="D7" s="11" t="s">
        <v>9</v>
      </c>
      <c r="E7" s="12">
        <f t="shared" ref="E7:E21" si="1">IF(D7="✅ Sí",C7,0)</f>
        <v>70</v>
      </c>
      <c r="F7" s="21">
        <v>0.0</v>
      </c>
    </row>
    <row r="8" ht="22.5" customHeight="1">
      <c r="A8" s="13">
        <v>2.0</v>
      </c>
      <c r="B8" s="14" t="s">
        <v>18</v>
      </c>
      <c r="C8" s="21">
        <v>90.0</v>
      </c>
      <c r="D8" s="20" t="s">
        <v>11</v>
      </c>
      <c r="E8" s="18">
        <f t="shared" si="1"/>
        <v>0</v>
      </c>
      <c r="F8" s="21">
        <f>'15 de Junio'!F8 - C8</f>
        <v>1295.03</v>
      </c>
      <c r="H8" s="26">
        <f>1680-F8</f>
        <v>384.97</v>
      </c>
    </row>
    <row r="9" ht="22.5" customHeight="1">
      <c r="A9" s="8">
        <v>3.0</v>
      </c>
      <c r="B9" s="9" t="s">
        <v>12</v>
      </c>
      <c r="C9" s="22">
        <v>0.0</v>
      </c>
      <c r="D9" s="11" t="s">
        <v>9</v>
      </c>
      <c r="E9" s="12">
        <f t="shared" si="1"/>
        <v>0</v>
      </c>
      <c r="F9" s="21">
        <v>1155.0</v>
      </c>
    </row>
    <row r="10" ht="22.5" customHeight="1">
      <c r="A10" s="13">
        <v>4.0</v>
      </c>
      <c r="B10" s="14" t="s">
        <v>14</v>
      </c>
      <c r="C10" s="15">
        <v>25.0</v>
      </c>
      <c r="D10" s="20" t="s">
        <v>9</v>
      </c>
      <c r="E10" s="18">
        <f t="shared" si="1"/>
        <v>25</v>
      </c>
      <c r="F10" s="21">
        <v>0.0</v>
      </c>
    </row>
    <row r="11" ht="22.5" customHeight="1">
      <c r="A11" s="8">
        <v>5.0</v>
      </c>
      <c r="B11" s="9" t="s">
        <v>19</v>
      </c>
      <c r="C11" s="22">
        <v>80.0</v>
      </c>
      <c r="D11" s="11" t="s">
        <v>9</v>
      </c>
      <c r="E11" s="12">
        <f t="shared" si="1"/>
        <v>80</v>
      </c>
      <c r="F11" s="21">
        <v>0.0</v>
      </c>
      <c r="H11" s="27" t="s">
        <v>22</v>
      </c>
    </row>
    <row r="12" ht="22.5" customHeight="1">
      <c r="A12" s="13">
        <v>6.0</v>
      </c>
      <c r="B12" s="14" t="s">
        <v>17</v>
      </c>
      <c r="C12" s="15">
        <v>60.0</v>
      </c>
      <c r="D12" s="20" t="s">
        <v>9</v>
      </c>
      <c r="E12" s="18">
        <f t="shared" si="1"/>
        <v>60</v>
      </c>
      <c r="F12" s="21">
        <v>0.0</v>
      </c>
    </row>
    <row r="13" ht="22.5" customHeight="1">
      <c r="A13" s="8">
        <v>7.0</v>
      </c>
      <c r="B13" s="9"/>
      <c r="C13" s="22">
        <v>0.0</v>
      </c>
      <c r="D13" s="11" t="s">
        <v>11</v>
      </c>
      <c r="E13" s="12">
        <f t="shared" si="1"/>
        <v>0</v>
      </c>
      <c r="F13" s="21">
        <v>0.0</v>
      </c>
    </row>
    <row r="14" ht="22.5" customHeight="1">
      <c r="A14" s="13">
        <v>8.0</v>
      </c>
      <c r="B14" s="14"/>
      <c r="C14" s="21">
        <v>0.0</v>
      </c>
      <c r="D14" s="20" t="s">
        <v>11</v>
      </c>
      <c r="E14" s="18">
        <f t="shared" si="1"/>
        <v>0</v>
      </c>
      <c r="F14" s="21">
        <v>0.0</v>
      </c>
    </row>
    <row r="15" ht="22.5" customHeight="1">
      <c r="A15" s="8">
        <v>9.0</v>
      </c>
      <c r="B15" s="9"/>
      <c r="C15" s="22">
        <v>0.0</v>
      </c>
      <c r="D15" s="11" t="s">
        <v>11</v>
      </c>
      <c r="E15" s="12">
        <f t="shared" si="1"/>
        <v>0</v>
      </c>
      <c r="F15" s="21">
        <v>0.0</v>
      </c>
    </row>
    <row r="16" ht="22.5" customHeight="1">
      <c r="A16" s="13">
        <v>10.0</v>
      </c>
      <c r="B16" s="14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325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235</v>
      </c>
      <c r="D24" s="37" t="str">
        <f>COUNTIF(D7:D21,"✅ Sí")&amp;" de 15 pagados"</f>
        <v>5 de 15 pagados</v>
      </c>
      <c r="E24" s="4"/>
    </row>
    <row r="25">
      <c r="A25" s="38" t="s">
        <v>34</v>
      </c>
      <c r="B25" s="2"/>
      <c r="C25" s="39">
        <f>C4-SUM(E7:E21)</f>
        <v>270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v>505.0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13">
        <v>6.0</v>
      </c>
      <c r="B7" s="14" t="s">
        <v>18</v>
      </c>
      <c r="C7" s="21">
        <v>125.76</v>
      </c>
      <c r="D7" s="20" t="s">
        <v>9</v>
      </c>
      <c r="E7" s="18">
        <f t="shared" ref="E7:E21" si="1">IF(D7="✅ Sí",C7,0)</f>
        <v>125.76</v>
      </c>
      <c r="F7" s="21">
        <f>'30 de Junio'!F8 *1.022 -C7</f>
        <v>1197.76066</v>
      </c>
      <c r="H7" s="26">
        <f>1680-F7</f>
        <v>482.23934</v>
      </c>
    </row>
    <row r="8" ht="22.5" customHeight="1">
      <c r="A8" s="13">
        <v>2.0</v>
      </c>
      <c r="B8" s="9" t="s">
        <v>12</v>
      </c>
      <c r="C8" s="22">
        <v>70.0</v>
      </c>
      <c r="D8" s="11" t="s">
        <v>9</v>
      </c>
      <c r="E8" s="12">
        <f t="shared" si="1"/>
        <v>70</v>
      </c>
      <c r="F8" s="21">
        <v>1120.0</v>
      </c>
    </row>
    <row r="9" ht="22.5" customHeight="1">
      <c r="A9" s="8">
        <v>3.0</v>
      </c>
      <c r="B9" s="14" t="s">
        <v>14</v>
      </c>
      <c r="C9" s="15">
        <v>25.0</v>
      </c>
      <c r="D9" s="20" t="s">
        <v>9</v>
      </c>
      <c r="E9" s="18">
        <f t="shared" si="1"/>
        <v>25</v>
      </c>
      <c r="F9" s="21">
        <v>0.0</v>
      </c>
    </row>
    <row r="10" ht="22.5" customHeight="1">
      <c r="A10" s="13">
        <v>4.0</v>
      </c>
      <c r="B10" s="9" t="s">
        <v>19</v>
      </c>
      <c r="C10" s="22">
        <v>80.0</v>
      </c>
      <c r="D10" s="11" t="s">
        <v>9</v>
      </c>
      <c r="E10" s="12">
        <f t="shared" si="1"/>
        <v>80</v>
      </c>
      <c r="F10" s="21">
        <v>0.0</v>
      </c>
    </row>
    <row r="11" ht="22.5" customHeight="1">
      <c r="A11" s="8">
        <v>5.0</v>
      </c>
      <c r="B11" s="14" t="s">
        <v>17</v>
      </c>
      <c r="C11" s="15">
        <v>60.0</v>
      </c>
      <c r="D11" s="20" t="s">
        <v>9</v>
      </c>
      <c r="E11" s="18">
        <f t="shared" si="1"/>
        <v>60</v>
      </c>
      <c r="F11" s="21">
        <v>0.0</v>
      </c>
      <c r="H11" s="27" t="s">
        <v>22</v>
      </c>
    </row>
    <row r="12" ht="22.5" customHeight="1">
      <c r="A12" s="13">
        <v>6.0</v>
      </c>
      <c r="B12" s="30" t="s">
        <v>37</v>
      </c>
      <c r="C12" s="22">
        <v>0.0</v>
      </c>
      <c r="D12" s="11" t="s">
        <v>11</v>
      </c>
      <c r="E12" s="12">
        <f t="shared" si="1"/>
        <v>0</v>
      </c>
      <c r="F12" s="21">
        <v>0.0</v>
      </c>
    </row>
    <row r="13" ht="22.5" customHeight="1">
      <c r="A13" s="8">
        <v>7.0</v>
      </c>
      <c r="B13" s="30" t="s">
        <v>38</v>
      </c>
      <c r="C13" s="22">
        <v>42.0</v>
      </c>
      <c r="D13" s="11" t="s">
        <v>9</v>
      </c>
      <c r="E13" s="12">
        <f t="shared" si="1"/>
        <v>42</v>
      </c>
      <c r="F13" s="21">
        <v>0.0</v>
      </c>
    </row>
    <row r="14" ht="22.5" customHeight="1">
      <c r="A14" s="13">
        <v>8.0</v>
      </c>
      <c r="B14" s="25" t="s">
        <v>39</v>
      </c>
      <c r="C14" s="21">
        <v>60.0</v>
      </c>
      <c r="D14" s="20" t="s">
        <v>11</v>
      </c>
      <c r="E14" s="18">
        <f t="shared" si="1"/>
        <v>0</v>
      </c>
      <c r="F14" s="21">
        <v>0.0</v>
      </c>
    </row>
    <row r="15" ht="22.5" customHeight="1">
      <c r="A15" s="8">
        <v>9.0</v>
      </c>
      <c r="B15" s="9"/>
      <c r="C15" s="22">
        <v>0.0</v>
      </c>
      <c r="D15" s="11" t="s">
        <v>11</v>
      </c>
      <c r="E15" s="12">
        <f t="shared" si="1"/>
        <v>0</v>
      </c>
      <c r="F15" s="21">
        <v>0.0</v>
      </c>
    </row>
    <row r="16" ht="22.5" customHeight="1">
      <c r="A16" s="13">
        <v>10.0</v>
      </c>
      <c r="B16" s="14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462.76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402.76</v>
      </c>
      <c r="D24" s="37" t="str">
        <f>COUNTIF(D7:D21,"✅ Sí")&amp;" de 15 pagados"</f>
        <v>6 de 15 pagados</v>
      </c>
      <c r="E24" s="4"/>
    </row>
    <row r="25">
      <c r="A25" s="38" t="s">
        <v>34</v>
      </c>
      <c r="B25" s="2"/>
      <c r="C25" s="39">
        <f>C4-SUM(E7:E21)</f>
        <v>102.24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v>505.0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13">
        <v>6.0</v>
      </c>
      <c r="B7" s="14" t="s">
        <v>18</v>
      </c>
      <c r="C7" s="21">
        <v>0.0</v>
      </c>
      <c r="D7" s="20" t="s">
        <v>11</v>
      </c>
      <c r="E7" s="18">
        <f t="shared" ref="E7:E21" si="1">IF(D7="✅ Sí",C7,0)</f>
        <v>0</v>
      </c>
      <c r="F7" s="21">
        <f>'15 de Julio'!F7 - C7</f>
        <v>1197.76066</v>
      </c>
      <c r="H7" s="26">
        <f>1680-F7</f>
        <v>482.23934</v>
      </c>
    </row>
    <row r="8" ht="22.5" customHeight="1">
      <c r="A8" s="13">
        <v>2.0</v>
      </c>
      <c r="B8" s="9" t="s">
        <v>12</v>
      </c>
      <c r="C8" s="22">
        <v>0.0</v>
      </c>
      <c r="D8" s="11" t="s">
        <v>9</v>
      </c>
      <c r="E8" s="12">
        <f t="shared" si="1"/>
        <v>0</v>
      </c>
      <c r="F8" s="21">
        <v>1085.0</v>
      </c>
    </row>
    <row r="9" ht="22.5" customHeight="1">
      <c r="A9" s="8">
        <v>3.0</v>
      </c>
      <c r="B9" s="14" t="s">
        <v>14</v>
      </c>
      <c r="C9" s="15">
        <v>25.0</v>
      </c>
      <c r="D9" s="20" t="s">
        <v>9</v>
      </c>
      <c r="E9" s="18">
        <f t="shared" si="1"/>
        <v>25</v>
      </c>
      <c r="F9" s="21">
        <v>0.0</v>
      </c>
    </row>
    <row r="10" ht="22.5" customHeight="1">
      <c r="A10" s="13">
        <v>4.0</v>
      </c>
      <c r="B10" s="9" t="s">
        <v>19</v>
      </c>
      <c r="C10" s="22">
        <v>80.0</v>
      </c>
      <c r="D10" s="11" t="s">
        <v>9</v>
      </c>
      <c r="E10" s="12">
        <f t="shared" si="1"/>
        <v>80</v>
      </c>
      <c r="F10" s="21">
        <v>0.0</v>
      </c>
    </row>
    <row r="11" ht="22.5" customHeight="1">
      <c r="A11" s="8">
        <v>5.0</v>
      </c>
      <c r="B11" s="14" t="s">
        <v>17</v>
      </c>
      <c r="C11" s="15">
        <v>60.0</v>
      </c>
      <c r="D11" s="20" t="s">
        <v>9</v>
      </c>
      <c r="E11" s="18">
        <f t="shared" si="1"/>
        <v>60</v>
      </c>
      <c r="F11" s="21">
        <v>0.0</v>
      </c>
      <c r="H11" s="27" t="s">
        <v>22</v>
      </c>
    </row>
    <row r="12" ht="22.5" customHeight="1">
      <c r="A12" s="13">
        <v>6.0</v>
      </c>
      <c r="B12" s="9"/>
      <c r="C12" s="22">
        <v>0.0</v>
      </c>
      <c r="D12" s="11" t="s">
        <v>11</v>
      </c>
      <c r="E12" s="12">
        <f t="shared" si="1"/>
        <v>0</v>
      </c>
      <c r="F12" s="21">
        <v>0.0</v>
      </c>
    </row>
    <row r="13" ht="22.5" customHeight="1">
      <c r="A13" s="8">
        <v>7.0</v>
      </c>
      <c r="B13" s="9"/>
      <c r="C13" s="22">
        <v>0.0</v>
      </c>
      <c r="D13" s="11" t="s">
        <v>11</v>
      </c>
      <c r="E13" s="12">
        <f t="shared" si="1"/>
        <v>0</v>
      </c>
      <c r="F13" s="21">
        <v>0.0</v>
      </c>
    </row>
    <row r="14" ht="22.5" customHeight="1">
      <c r="A14" s="13">
        <v>8.0</v>
      </c>
      <c r="B14" s="14"/>
      <c r="C14" s="21">
        <v>0.0</v>
      </c>
      <c r="D14" s="20" t="s">
        <v>11</v>
      </c>
      <c r="E14" s="18">
        <f t="shared" si="1"/>
        <v>0</v>
      </c>
      <c r="F14" s="21">
        <v>0.0</v>
      </c>
    </row>
    <row r="15" ht="22.5" customHeight="1">
      <c r="A15" s="8">
        <v>9.0</v>
      </c>
      <c r="B15" s="9"/>
      <c r="C15" s="22">
        <v>0.0</v>
      </c>
      <c r="D15" s="11" t="s">
        <v>11</v>
      </c>
      <c r="E15" s="12">
        <f t="shared" si="1"/>
        <v>0</v>
      </c>
      <c r="F15" s="21">
        <v>0.0</v>
      </c>
    </row>
    <row r="16" ht="22.5" customHeight="1">
      <c r="A16" s="13">
        <v>10.0</v>
      </c>
      <c r="B16" s="14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165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165</v>
      </c>
      <c r="D24" s="37" t="str">
        <f>COUNTIF(D7:D21,"✅ Sí")&amp;" de 15 pagados"</f>
        <v>4 de 15 pagados</v>
      </c>
      <c r="E24" s="4"/>
    </row>
    <row r="25">
      <c r="A25" s="38" t="s">
        <v>34</v>
      </c>
      <c r="B25" s="2"/>
      <c r="C25" s="39">
        <f>C4-SUM(E7:E21)</f>
        <v>340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  <col customWidth="1" min="8" max="8" width="21.88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f>505+270</f>
        <v>775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13">
        <v>6.0</v>
      </c>
      <c r="B7" s="14" t="s">
        <v>18</v>
      </c>
      <c r="C7" s="21">
        <v>115.0</v>
      </c>
      <c r="D7" s="20" t="s">
        <v>11</v>
      </c>
      <c r="E7" s="18">
        <f t="shared" ref="E7:E21" si="1">IF(D7="✅ Sí",C7,0)</f>
        <v>0</v>
      </c>
      <c r="F7" s="21">
        <f>'30 de Julio'!F7 *1.02 - C7</f>
        <v>1106.715873</v>
      </c>
      <c r="G7" s="42"/>
      <c r="H7" s="43" t="s">
        <v>40</v>
      </c>
      <c r="I7" s="26">
        <f>1680-F7</f>
        <v>573.2841268</v>
      </c>
    </row>
    <row r="8" ht="22.5" customHeight="1">
      <c r="A8" s="13">
        <v>2.0</v>
      </c>
      <c r="B8" s="9" t="s">
        <v>12</v>
      </c>
      <c r="C8" s="22">
        <v>70.0</v>
      </c>
      <c r="D8" s="11" t="s">
        <v>9</v>
      </c>
      <c r="E8" s="12">
        <f t="shared" si="1"/>
        <v>70</v>
      </c>
      <c r="F8" s="21">
        <v>1050.0</v>
      </c>
    </row>
    <row r="9" ht="22.5" customHeight="1">
      <c r="A9" s="8">
        <v>3.0</v>
      </c>
      <c r="B9" s="14" t="s">
        <v>14</v>
      </c>
      <c r="C9" s="15">
        <v>25.0</v>
      </c>
      <c r="D9" s="20" t="s">
        <v>9</v>
      </c>
      <c r="E9" s="18">
        <f t="shared" si="1"/>
        <v>25</v>
      </c>
      <c r="F9" s="21">
        <v>0.0</v>
      </c>
    </row>
    <row r="10" ht="22.5" customHeight="1">
      <c r="A10" s="13">
        <v>4.0</v>
      </c>
      <c r="B10" s="9" t="s">
        <v>19</v>
      </c>
      <c r="C10" s="22">
        <v>80.0</v>
      </c>
      <c r="D10" s="11" t="s">
        <v>9</v>
      </c>
      <c r="E10" s="12">
        <f t="shared" si="1"/>
        <v>80</v>
      </c>
      <c r="F10" s="21">
        <v>0.0</v>
      </c>
    </row>
    <row r="11" ht="22.5" customHeight="1">
      <c r="A11" s="8">
        <v>5.0</v>
      </c>
      <c r="B11" s="14" t="s">
        <v>17</v>
      </c>
      <c r="C11" s="15">
        <v>60.0</v>
      </c>
      <c r="D11" s="20" t="s">
        <v>9</v>
      </c>
      <c r="E11" s="18">
        <f t="shared" si="1"/>
        <v>60</v>
      </c>
      <c r="F11" s="21">
        <v>0.0</v>
      </c>
      <c r="H11" s="27" t="s">
        <v>22</v>
      </c>
    </row>
    <row r="12" ht="22.5" customHeight="1">
      <c r="A12" s="13">
        <v>6.0</v>
      </c>
      <c r="B12" s="30" t="s">
        <v>41</v>
      </c>
      <c r="C12" s="22">
        <v>250.0</v>
      </c>
      <c r="D12" s="11" t="s">
        <v>9</v>
      </c>
      <c r="E12" s="12">
        <f t="shared" si="1"/>
        <v>250</v>
      </c>
      <c r="F12" s="21">
        <v>0.0</v>
      </c>
    </row>
    <row r="13" ht="22.5" customHeight="1">
      <c r="A13" s="8">
        <v>7.0</v>
      </c>
      <c r="B13" s="30" t="s">
        <v>42</v>
      </c>
      <c r="C13" s="22">
        <v>100.0</v>
      </c>
      <c r="D13" s="11" t="s">
        <v>9</v>
      </c>
      <c r="E13" s="12">
        <f t="shared" si="1"/>
        <v>100</v>
      </c>
      <c r="F13" s="21">
        <v>0.0</v>
      </c>
    </row>
    <row r="14" ht="22.5" customHeight="1">
      <c r="A14" s="13">
        <v>8.0</v>
      </c>
      <c r="B14" s="25" t="s">
        <v>43</v>
      </c>
      <c r="C14" s="21">
        <v>75.0</v>
      </c>
      <c r="D14" s="20" t="s">
        <v>9</v>
      </c>
      <c r="E14" s="18">
        <f t="shared" si="1"/>
        <v>75</v>
      </c>
      <c r="F14" s="21">
        <v>0.0</v>
      </c>
    </row>
    <row r="15" ht="22.5" customHeight="1">
      <c r="A15" s="8">
        <v>9.0</v>
      </c>
      <c r="B15" s="9"/>
      <c r="C15" s="22">
        <v>0.0</v>
      </c>
      <c r="D15" s="11" t="s">
        <v>11</v>
      </c>
      <c r="E15" s="12">
        <f t="shared" si="1"/>
        <v>0</v>
      </c>
      <c r="F15" s="21">
        <v>0.0</v>
      </c>
    </row>
    <row r="16" ht="22.5" customHeight="1">
      <c r="A16" s="13">
        <v>10.0</v>
      </c>
      <c r="B16" s="14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775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660</v>
      </c>
      <c r="D24" s="37" t="str">
        <f>COUNTIF(D7:D21,"✅ Sí")&amp;" de 15 pagados"</f>
        <v>7 de 15 pagados</v>
      </c>
      <c r="E24" s="4"/>
    </row>
    <row r="25">
      <c r="A25" s="38" t="s">
        <v>34</v>
      </c>
      <c r="B25" s="2"/>
      <c r="C25" s="39">
        <f>C4-SUM(E7:E21)</f>
        <v>115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  <col customWidth="1" min="8" max="8" width="21.88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v>505.0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13">
        <v>6.0</v>
      </c>
      <c r="B7" s="14" t="s">
        <v>18</v>
      </c>
      <c r="C7" s="21">
        <v>240.0</v>
      </c>
      <c r="D7" s="20" t="s">
        <v>11</v>
      </c>
      <c r="E7" s="18">
        <f t="shared" ref="E7:E21" si="1">IF(D7="✅ Sí",C7,0)</f>
        <v>0</v>
      </c>
      <c r="F7" s="21">
        <f>'15 de Agosto'!F7 - C7</f>
        <v>866.7158732</v>
      </c>
      <c r="G7" s="42"/>
      <c r="H7" s="43" t="s">
        <v>40</v>
      </c>
    </row>
    <row r="8" ht="22.5" customHeight="1">
      <c r="A8" s="13">
        <v>2.0</v>
      </c>
      <c r="B8" s="9" t="s">
        <v>12</v>
      </c>
      <c r="C8" s="22">
        <v>0.0</v>
      </c>
      <c r="D8" s="11" t="s">
        <v>9</v>
      </c>
      <c r="E8" s="12">
        <f t="shared" si="1"/>
        <v>0</v>
      </c>
      <c r="F8" s="21">
        <v>1050.0</v>
      </c>
    </row>
    <row r="9" ht="22.5" customHeight="1">
      <c r="A9" s="8">
        <v>3.0</v>
      </c>
      <c r="B9" s="14" t="s">
        <v>14</v>
      </c>
      <c r="C9" s="15">
        <v>25.0</v>
      </c>
      <c r="D9" s="20" t="s">
        <v>9</v>
      </c>
      <c r="E9" s="18">
        <f t="shared" si="1"/>
        <v>25</v>
      </c>
      <c r="F9" s="21">
        <v>0.0</v>
      </c>
    </row>
    <row r="10" ht="22.5" customHeight="1">
      <c r="A10" s="13">
        <v>4.0</v>
      </c>
      <c r="B10" s="9" t="s">
        <v>19</v>
      </c>
      <c r="C10" s="22">
        <v>80.0</v>
      </c>
      <c r="D10" s="11" t="s">
        <v>9</v>
      </c>
      <c r="E10" s="12">
        <f t="shared" si="1"/>
        <v>80</v>
      </c>
      <c r="F10" s="21">
        <v>0.0</v>
      </c>
    </row>
    <row r="11" ht="22.5" customHeight="1">
      <c r="A11" s="8">
        <v>5.0</v>
      </c>
      <c r="B11" s="14" t="s">
        <v>17</v>
      </c>
      <c r="C11" s="15">
        <v>60.0</v>
      </c>
      <c r="D11" s="20" t="s">
        <v>9</v>
      </c>
      <c r="E11" s="18">
        <f t="shared" si="1"/>
        <v>60</v>
      </c>
      <c r="F11" s="21">
        <v>0.0</v>
      </c>
      <c r="H11" s="27" t="s">
        <v>22</v>
      </c>
    </row>
    <row r="12" ht="22.5" customHeight="1">
      <c r="A12" s="13">
        <v>6.0</v>
      </c>
      <c r="B12" s="30" t="s">
        <v>42</v>
      </c>
      <c r="C12" s="22">
        <v>100.0</v>
      </c>
      <c r="D12" s="11" t="s">
        <v>9</v>
      </c>
      <c r="E12" s="12">
        <f t="shared" si="1"/>
        <v>100</v>
      </c>
      <c r="F12" s="21">
        <v>0.0</v>
      </c>
    </row>
    <row r="13" ht="22.5" customHeight="1">
      <c r="A13" s="8">
        <v>7.0</v>
      </c>
      <c r="B13" s="9"/>
      <c r="C13" s="22">
        <v>0.0</v>
      </c>
      <c r="D13" s="11" t="s">
        <v>11</v>
      </c>
      <c r="E13" s="12">
        <f t="shared" si="1"/>
        <v>0</v>
      </c>
      <c r="F13" s="21">
        <v>0.0</v>
      </c>
    </row>
    <row r="14" ht="22.5" customHeight="1">
      <c r="A14" s="13">
        <v>8.0</v>
      </c>
      <c r="B14" s="14"/>
      <c r="C14" s="21">
        <v>0.0</v>
      </c>
      <c r="D14" s="20" t="s">
        <v>11</v>
      </c>
      <c r="E14" s="18">
        <f t="shared" si="1"/>
        <v>0</v>
      </c>
      <c r="F14" s="21">
        <v>0.0</v>
      </c>
    </row>
    <row r="15" ht="22.5" customHeight="1">
      <c r="A15" s="8">
        <v>9.0</v>
      </c>
      <c r="B15" s="9"/>
      <c r="C15" s="22">
        <v>0.0</v>
      </c>
      <c r="D15" s="11" t="s">
        <v>11</v>
      </c>
      <c r="E15" s="12">
        <f t="shared" si="1"/>
        <v>0</v>
      </c>
      <c r="F15" s="21">
        <v>0.0</v>
      </c>
    </row>
    <row r="16" ht="22.5" customHeight="1">
      <c r="A16" s="13">
        <v>10.0</v>
      </c>
      <c r="B16" s="14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505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265</v>
      </c>
      <c r="D24" s="37" t="str">
        <f>COUNTIF(D7:D21,"✅ Sí")&amp;" de 15 pagados"</f>
        <v>5 de 15 pagados</v>
      </c>
      <c r="E24" s="4"/>
    </row>
    <row r="25">
      <c r="A25" s="38" t="s">
        <v>34</v>
      </c>
      <c r="B25" s="2"/>
      <c r="C25" s="39">
        <f>C4-SUM(E7:E21)</f>
        <v>240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3.13"/>
    <col customWidth="1" min="3" max="3" width="17.5"/>
    <col customWidth="1" min="4" max="4" width="16.75"/>
    <col customWidth="1" min="5" max="5" width="20.25"/>
    <col customWidth="1" min="8" max="8" width="21.88"/>
  </cols>
  <sheetData>
    <row r="2">
      <c r="A2" s="1" t="s">
        <v>0</v>
      </c>
      <c r="B2" s="2"/>
      <c r="C2" s="2"/>
      <c r="D2" s="2"/>
      <c r="E2" s="2"/>
    </row>
    <row r="4">
      <c r="A4" s="3" t="s">
        <v>1</v>
      </c>
      <c r="B4" s="4"/>
      <c r="C4" s="17">
        <v>505.0</v>
      </c>
      <c r="D4" s="6" t="s">
        <v>2</v>
      </c>
      <c r="E4" s="4"/>
    </row>
    <row r="6" ht="22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19" t="s">
        <v>13</v>
      </c>
    </row>
    <row r="7" ht="22.5" customHeight="1">
      <c r="A7" s="13">
        <v>6.0</v>
      </c>
      <c r="B7" s="14" t="s">
        <v>18</v>
      </c>
      <c r="C7" s="21">
        <v>170.0</v>
      </c>
      <c r="D7" s="20" t="s">
        <v>11</v>
      </c>
      <c r="E7" s="18">
        <f t="shared" ref="E7:E21" si="1">IF(D7="✅ Sí",C7,0)</f>
        <v>0</v>
      </c>
      <c r="F7" s="21">
        <f>'30deAgosto'!F7 *1.02 - C7</f>
        <v>714.0501907</v>
      </c>
      <c r="G7" s="42"/>
      <c r="H7" s="43" t="s">
        <v>40</v>
      </c>
    </row>
    <row r="8" ht="22.5" customHeight="1">
      <c r="A8" s="13">
        <v>2.0</v>
      </c>
      <c r="B8" s="9" t="s">
        <v>12</v>
      </c>
      <c r="C8" s="22">
        <v>70.0</v>
      </c>
      <c r="D8" s="11" t="s">
        <v>9</v>
      </c>
      <c r="E8" s="12">
        <f t="shared" si="1"/>
        <v>70</v>
      </c>
      <c r="F8" s="21">
        <v>1050.0</v>
      </c>
    </row>
    <row r="9" ht="22.5" customHeight="1">
      <c r="A9" s="8">
        <v>3.0</v>
      </c>
      <c r="B9" s="14" t="s">
        <v>14</v>
      </c>
      <c r="C9" s="15">
        <v>25.0</v>
      </c>
      <c r="D9" s="20" t="s">
        <v>9</v>
      </c>
      <c r="E9" s="18">
        <f t="shared" si="1"/>
        <v>25</v>
      </c>
      <c r="F9" s="21">
        <v>0.0</v>
      </c>
    </row>
    <row r="10" ht="22.5" customHeight="1">
      <c r="A10" s="13">
        <v>4.0</v>
      </c>
      <c r="B10" s="9" t="s">
        <v>19</v>
      </c>
      <c r="C10" s="22">
        <v>80.0</v>
      </c>
      <c r="D10" s="11" t="s">
        <v>9</v>
      </c>
      <c r="E10" s="12">
        <f t="shared" si="1"/>
        <v>80</v>
      </c>
      <c r="F10" s="21">
        <v>0.0</v>
      </c>
    </row>
    <row r="11" ht="22.5" customHeight="1">
      <c r="A11" s="8">
        <v>5.0</v>
      </c>
      <c r="B11" s="14" t="s">
        <v>17</v>
      </c>
      <c r="C11" s="15">
        <v>60.0</v>
      </c>
      <c r="D11" s="20" t="s">
        <v>9</v>
      </c>
      <c r="E11" s="18">
        <f t="shared" si="1"/>
        <v>60</v>
      </c>
      <c r="F11" s="21">
        <v>0.0</v>
      </c>
      <c r="H11" s="27" t="s">
        <v>22</v>
      </c>
    </row>
    <row r="12" ht="22.5" customHeight="1">
      <c r="A12" s="13">
        <v>6.0</v>
      </c>
      <c r="B12" s="30" t="s">
        <v>42</v>
      </c>
      <c r="C12" s="22">
        <v>100.0</v>
      </c>
      <c r="D12" s="11" t="s">
        <v>9</v>
      </c>
      <c r="E12" s="12">
        <f t="shared" si="1"/>
        <v>100</v>
      </c>
      <c r="F12" s="21">
        <v>0.0</v>
      </c>
    </row>
    <row r="13" ht="22.5" customHeight="1">
      <c r="A13" s="8">
        <v>7.0</v>
      </c>
      <c r="B13" s="9"/>
      <c r="C13" s="22">
        <v>0.0</v>
      </c>
      <c r="D13" s="11" t="s">
        <v>11</v>
      </c>
      <c r="E13" s="12">
        <f t="shared" si="1"/>
        <v>0</v>
      </c>
      <c r="F13" s="21">
        <v>0.0</v>
      </c>
    </row>
    <row r="14" ht="22.5" customHeight="1">
      <c r="A14" s="13">
        <v>8.0</v>
      </c>
      <c r="B14" s="14"/>
      <c r="C14" s="21">
        <v>0.0</v>
      </c>
      <c r="D14" s="20" t="s">
        <v>11</v>
      </c>
      <c r="E14" s="18">
        <f t="shared" si="1"/>
        <v>0</v>
      </c>
      <c r="F14" s="21">
        <v>0.0</v>
      </c>
    </row>
    <row r="15" ht="22.5" customHeight="1">
      <c r="A15" s="8">
        <v>9.0</v>
      </c>
      <c r="B15" s="9"/>
      <c r="C15" s="22">
        <v>0.0</v>
      </c>
      <c r="D15" s="11" t="s">
        <v>11</v>
      </c>
      <c r="E15" s="12">
        <f t="shared" si="1"/>
        <v>0</v>
      </c>
      <c r="F15" s="21">
        <v>0.0</v>
      </c>
    </row>
    <row r="16" ht="22.5" customHeight="1">
      <c r="A16" s="13">
        <v>10.0</v>
      </c>
      <c r="B16" s="14"/>
      <c r="C16" s="21">
        <v>0.0</v>
      </c>
      <c r="D16" s="20" t="s">
        <v>11</v>
      </c>
      <c r="E16" s="18">
        <f t="shared" si="1"/>
        <v>0</v>
      </c>
      <c r="F16" s="21">
        <v>0.0</v>
      </c>
    </row>
    <row r="17" ht="22.5" customHeight="1">
      <c r="A17" s="8">
        <v>11.0</v>
      </c>
      <c r="B17" s="28"/>
      <c r="C17" s="22">
        <v>0.0</v>
      </c>
      <c r="D17" s="24" t="s">
        <v>11</v>
      </c>
      <c r="E17" s="12">
        <f t="shared" si="1"/>
        <v>0</v>
      </c>
      <c r="F17" s="21">
        <v>0.0</v>
      </c>
    </row>
    <row r="18" ht="22.5" customHeight="1">
      <c r="A18" s="13">
        <v>12.0</v>
      </c>
      <c r="B18" s="29"/>
      <c r="C18" s="21">
        <v>0.0</v>
      </c>
      <c r="D18" s="20" t="s">
        <v>11</v>
      </c>
      <c r="E18" s="18">
        <f t="shared" si="1"/>
        <v>0</v>
      </c>
      <c r="F18" s="21">
        <v>0.0</v>
      </c>
    </row>
    <row r="19" ht="22.5" customHeight="1">
      <c r="A19" s="8">
        <v>13.0</v>
      </c>
      <c r="B19" s="28"/>
      <c r="C19" s="22">
        <v>0.0</v>
      </c>
      <c r="D19" s="11" t="s">
        <v>11</v>
      </c>
      <c r="E19" s="12">
        <f t="shared" si="1"/>
        <v>0</v>
      </c>
      <c r="F19" s="21">
        <v>0.0</v>
      </c>
    </row>
    <row r="20" ht="22.5" customHeight="1">
      <c r="A20" s="13">
        <v>14.0</v>
      </c>
      <c r="B20" s="29"/>
      <c r="C20" s="21">
        <v>0.0</v>
      </c>
      <c r="D20" s="20" t="s">
        <v>11</v>
      </c>
      <c r="E20" s="18">
        <f t="shared" si="1"/>
        <v>0</v>
      </c>
      <c r="F20" s="21">
        <v>0.0</v>
      </c>
    </row>
    <row r="21" ht="22.5" customHeight="1">
      <c r="A21" s="8">
        <v>15.0</v>
      </c>
      <c r="B21" s="41"/>
      <c r="C21" s="22">
        <v>0.0</v>
      </c>
      <c r="D21" s="24" t="s">
        <v>11</v>
      </c>
      <c r="E21" s="12">
        <f t="shared" si="1"/>
        <v>0</v>
      </c>
      <c r="F21" s="21">
        <v>0.0</v>
      </c>
    </row>
    <row r="22">
      <c r="A22" s="31"/>
      <c r="B22" s="31"/>
      <c r="C22" s="31"/>
      <c r="D22" s="31"/>
      <c r="E22" s="31"/>
    </row>
    <row r="23">
      <c r="A23" s="32" t="s">
        <v>32</v>
      </c>
      <c r="B23" s="4"/>
      <c r="C23" s="33">
        <f>SUM(C7:C21)</f>
        <v>505</v>
      </c>
      <c r="D23" s="34" t="str">
        <f>TEXT(COUNTA(A7:A21),"0")&amp;" gastos registrados"</f>
        <v>15 gastos registrados</v>
      </c>
      <c r="E23" s="4"/>
    </row>
    <row r="24">
      <c r="A24" s="35" t="s">
        <v>33</v>
      </c>
      <c r="B24" s="4"/>
      <c r="C24" s="36">
        <f>SUM(E7:E21)</f>
        <v>335</v>
      </c>
      <c r="D24" s="37" t="str">
        <f>COUNTIF(D7:D21,"✅ Sí")&amp;" de 15 pagados"</f>
        <v>5 de 15 pagados</v>
      </c>
      <c r="E24" s="4"/>
    </row>
    <row r="25">
      <c r="A25" s="38" t="s">
        <v>34</v>
      </c>
      <c r="B25" s="2"/>
      <c r="C25" s="39">
        <f>C4-SUM(E7:E21)</f>
        <v>170</v>
      </c>
      <c r="D25" s="40" t="s">
        <v>35</v>
      </c>
      <c r="E25" s="2"/>
    </row>
  </sheetData>
  <mergeCells count="9">
    <mergeCell ref="D24:E24"/>
    <mergeCell ref="D25:E25"/>
    <mergeCell ref="A2:E2"/>
    <mergeCell ref="A4:B4"/>
    <mergeCell ref="D4:E4"/>
    <mergeCell ref="A23:B23"/>
    <mergeCell ref="D23:E23"/>
    <mergeCell ref="A24:B24"/>
    <mergeCell ref="A25:B25"/>
  </mergeCells>
  <conditionalFormatting sqref="A7:F21">
    <cfRule type="expression" dxfId="5" priority="1">
      <formula>$D7="✅ Sí"</formula>
    </cfRule>
  </conditionalFormatting>
  <dataValidations>
    <dataValidation type="custom" allowBlank="1" showDropDown="1" sqref="A7:A21 C7:C21 E7:E21">
      <formula1>AND(ISNUMBER(A7),(NOT(OR(NOT(ISERROR(DATEVALUE(A7))), AND(ISNUMBER(A7), LEFT(CELL("format", A7))="D")))))</formula1>
    </dataValidation>
    <dataValidation type="list" allowBlank="1" sqref="D7:D21">
      <formula1>"✅ Sí,❌ No"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2026-03-31T11:28:09Z</dcterms:created>
  <dc:creator>openpyxl</dc:creator>
</cp:coreProperties>
</file>